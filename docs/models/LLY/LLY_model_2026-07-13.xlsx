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LLY -- Furton Coverage Model</t>
        </is>
      </c>
    </row>
    <row r="3">
      <c r="A3" s="2" t="inlineStr">
        <is>
          <t>Company</t>
        </is>
      </c>
      <c r="B3" s="3" t="inlineStr">
        <is>
          <t>ELI LILLY &amp; Co</t>
        </is>
      </c>
    </row>
    <row r="4">
      <c r="A4" s="2" t="inlineStr">
        <is>
          <t>Ticker</t>
        </is>
      </c>
      <c r="B4" s="3" t="inlineStr">
        <is>
          <t>LLY</t>
        </is>
      </c>
    </row>
    <row r="5">
      <c r="A5" s="2" t="inlineStr">
        <is>
          <t>CIK</t>
        </is>
      </c>
      <c r="B5" s="3" t="inlineStr">
        <is>
          <t>0000059478</t>
        </is>
      </c>
    </row>
    <row r="6">
      <c r="A6" s="2" t="inlineStr">
        <is>
          <t>Sector</t>
        </is>
      </c>
      <c r="B6" s="3" t="inlineStr">
        <is>
          <t>Pharmaceuticals (decorrelator)</t>
        </is>
      </c>
    </row>
    <row r="7">
      <c r="A7" s="2" t="inlineStr">
        <is>
          <t>Fiscal year end</t>
        </is>
      </c>
      <c r="B7" s="3" t="inlineStr">
        <is>
          <t>December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2026-07-13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https://data.sec.gov/api/xbrl/companyfacts/CIK0000059478.json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LLY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Q3 FY23</t>
        </is>
      </c>
      <c r="C3" s="9" t="inlineStr">
        <is>
          <t>Q1 FY24</t>
        </is>
      </c>
      <c r="D3" s="9" t="inlineStr">
        <is>
          <t>Q2 FY24</t>
        </is>
      </c>
      <c r="E3" s="9" t="inlineStr">
        <is>
          <t>Q3 FY24</t>
        </is>
      </c>
      <c r="F3" s="9" t="inlineStr">
        <is>
          <t>Q1 FY25</t>
        </is>
      </c>
      <c r="G3" s="9" t="inlineStr">
        <is>
          <t>Q2 FY25</t>
        </is>
      </c>
      <c r="H3" s="9" t="inlineStr">
        <is>
          <t>Q3 FY25</t>
        </is>
      </c>
      <c r="I3" s="9" t="inlineStr">
        <is>
          <t>Q1 FY26</t>
        </is>
      </c>
    </row>
    <row r="4">
      <c r="A4" s="2" t="inlineStr">
        <is>
          <t>Revenue</t>
        </is>
      </c>
      <c r="B4" s="10" t="n">
        <v>9498.6</v>
      </c>
      <c r="C4" s="10" t="n">
        <v>8768</v>
      </c>
      <c r="D4" s="10" t="n">
        <v>11302.8</v>
      </c>
      <c r="E4" s="10" t="n">
        <v>11439.1</v>
      </c>
      <c r="F4" s="10" t="n">
        <v>12728.5</v>
      </c>
      <c r="G4" s="10" t="n">
        <v>15557.7</v>
      </c>
      <c r="H4" s="10" t="n">
        <v>17600.8</v>
      </c>
      <c r="I4" s="10" t="n">
        <v>19799</v>
      </c>
    </row>
    <row r="5">
      <c r="A5" s="2" t="inlineStr">
        <is>
          <t>Gross profit</t>
        </is>
      </c>
    </row>
    <row r="6">
      <c r="A6" s="2" t="inlineStr">
        <is>
          <t>Operating income</t>
        </is>
      </c>
    </row>
    <row r="7">
      <c r="A7" s="2" t="inlineStr">
        <is>
          <t>Net income</t>
        </is>
      </c>
      <c r="B7" s="10" t="n">
        <v>-57.4</v>
      </c>
      <c r="C7" s="10" t="n">
        <v>2242.9</v>
      </c>
      <c r="D7" s="10" t="n">
        <v>2967</v>
      </c>
      <c r="E7" s="10" t="n">
        <v>970.3</v>
      </c>
      <c r="F7" s="10" t="n">
        <v>2759.3</v>
      </c>
      <c r="G7" s="10" t="n">
        <v>5660.5</v>
      </c>
      <c r="H7" s="10" t="n">
        <v>5582.5</v>
      </c>
      <c r="I7" s="10" t="n">
        <v>7396</v>
      </c>
    </row>
    <row r="8">
      <c r="A8" s="2" t="inlineStr">
        <is>
          <t>Diluted EPS</t>
        </is>
      </c>
      <c r="B8" s="11" t="n">
        <v>-0.06</v>
      </c>
      <c r="C8" s="11" t="n">
        <v>2.48</v>
      </c>
      <c r="D8" s="11" t="n">
        <v>3.28</v>
      </c>
      <c r="E8" s="11" t="n">
        <v>1.07</v>
      </c>
      <c r="F8" s="11" t="n">
        <v>3.06</v>
      </c>
      <c r="G8" s="11" t="n">
        <v>6.29</v>
      </c>
      <c r="H8" s="11" t="n">
        <v>6.21</v>
      </c>
      <c r="I8" s="11" t="n">
        <v>8.26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https://data.sec.gov/api/xbrl/companyfacts/CIK0000059478.json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LLY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gross margin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product revenue: Mounjaro / Zepbound / Verzenio (KPI, press-release-sourced — not in companyfacts)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LLY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2026-07-13T21:25:43Z</dcterms:created>
  <dcterms:modified xmlns:dcterms="http://purl.org/dc/terms/" xmlns:xsi="http://www.w3.org/2001/XMLSchema-instance" xsi:type="dcterms:W3CDTF">2026-07-13T21:25:43Z</dcterms:modified>
</cp:coreProperties>
</file>