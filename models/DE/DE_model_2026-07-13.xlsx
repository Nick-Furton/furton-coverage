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Our Estim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$0.00;($0.00);-"/>
    <numFmt numFmtId="166" formatCode="0.0%;(0.0%);-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color rgb="00000000"/>
    </font>
    <font>
      <name val="Calibri"/>
      <color rgb="000000FF"/>
    </font>
    <font>
      <name val="Calibri"/>
      <i val="1"/>
      <color rgb="00808080"/>
      <sz val="8"/>
    </font>
    <font>
      <name val="Calibri"/>
      <color rgb="00008000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3" borderId="0" pivotButton="0" quotePrefix="0" xfId="0"/>
    <xf numFmtId="0" fontId="7" fillId="3" borderId="0" applyAlignment="1" pivotButton="0" quotePrefix="0" xfId="0">
      <alignment horizontal="center"/>
    </xf>
    <xf numFmtId="164" fontId="4" fillId="0" borderId="0" pivotButton="0" quotePrefix="0" xfId="0"/>
    <xf numFmtId="165" fontId="4" fillId="0" borderId="0" pivotButton="0" quotePrefix="0" xfId="0"/>
    <xf numFmtId="166" fontId="3" fillId="0" borderId="0" pivotButton="0" quotePrefix="0" xfId="0"/>
    <xf numFmtId="166" fontId="4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DE -- Furton Coverage Model</t>
        </is>
      </c>
    </row>
    <row r="3">
      <c r="A3" s="2" t="inlineStr">
        <is>
          <t>Company</t>
        </is>
      </c>
      <c r="B3" s="3" t="inlineStr">
        <is>
          <t>DEERE &amp; CO</t>
        </is>
      </c>
    </row>
    <row r="4">
      <c r="A4" s="2" t="inlineStr">
        <is>
          <t>Ticker</t>
        </is>
      </c>
      <c r="B4" s="3" t="inlineStr">
        <is>
          <t>DE</t>
        </is>
      </c>
    </row>
    <row r="5">
      <c r="A5" s="2" t="inlineStr">
        <is>
          <t>CIK</t>
        </is>
      </c>
      <c r="B5" s="3" t="inlineStr">
        <is>
          <t>0000315189</t>
        </is>
      </c>
    </row>
    <row r="6">
      <c r="A6" s="2" t="inlineStr">
        <is>
          <t>Sector</t>
        </is>
      </c>
      <c r="B6" s="3" t="inlineStr">
        <is>
          <t>Industrials / Agriculture Machinery (decorrelator)</t>
        </is>
      </c>
    </row>
    <row r="7">
      <c r="A7" s="2" t="inlineStr">
        <is>
          <t>Fiscal year end</t>
        </is>
      </c>
      <c r="B7" s="3" t="inlineStr">
        <is>
          <t>October</t>
        </is>
      </c>
    </row>
    <row r="8">
      <c r="A8" s="2" t="inlineStr">
        <is>
          <t>Guidance basis</t>
        </is>
      </c>
      <c r="B8" s="3" t="inlineStr">
        <is>
          <t>gaap</t>
        </is>
      </c>
    </row>
    <row r="9">
      <c r="A9" s="2" t="inlineStr">
        <is>
          <t>Generated</t>
        </is>
      </c>
      <c r="B9" s="3" t="inlineStr">
        <is>
          <t>2026-07-13</t>
        </is>
      </c>
    </row>
    <row r="10">
      <c r="A10" s="2" t="inlineStr">
        <is>
          <t>Data source</t>
        </is>
      </c>
      <c r="B10" s="3" t="inlineStr">
        <is>
          <t>SEC EDGAR XBRL companyfacts + earnings 8-K (EX-99.1) press releases</t>
        </is>
      </c>
    </row>
    <row r="11">
      <c r="A11" s="2" t="inlineStr">
        <is>
          <t>Companyfacts URL</t>
        </is>
      </c>
      <c r="B11" s="3" t="inlineStr">
        <is>
          <t>https://data.sec.gov/api/xbrl/companyfacts/CIK0000315189.json</t>
        </is>
      </c>
    </row>
    <row r="13">
      <c r="A13" s="2" t="inlineStr">
        <is>
          <t>Color legend</t>
        </is>
      </c>
    </row>
    <row r="14">
      <c r="A14" s="4" t="inlineStr">
        <is>
          <t>Blue text</t>
        </is>
      </c>
      <c r="B14" s="5" t="inlineStr">
        <is>
          <t>Hardcoded input (XBRL actual, or an assumption we set)</t>
        </is>
      </c>
    </row>
    <row r="15">
      <c r="A15" s="3" t="inlineStr">
        <is>
          <t>Black text</t>
        </is>
      </c>
      <c r="B15" s="5" t="inlineStr">
        <is>
          <t>Formula / calculation</t>
        </is>
      </c>
    </row>
    <row r="16">
      <c r="A16" s="6" t="inlineStr">
        <is>
          <t>Green text</t>
        </is>
      </c>
      <c r="B16" s="5" t="inlineStr">
        <is>
          <t>Cross-sheet reference (pulls from another tab)</t>
        </is>
      </c>
    </row>
    <row r="17">
      <c r="A17" s="7" t="inlineStr">
        <is>
          <t>Yellow fill</t>
        </is>
      </c>
      <c r="B17" s="5" t="inlineStr">
        <is>
          <t>TBD -- not in companyfacts; needs press-release extraction</t>
        </is>
      </c>
    </row>
    <row r="19">
      <c r="A19" s="5" t="inlineStr">
        <is>
          <t>Educational research generated from public SEC EDGAR filings.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DE -- Income Statement (trailing 8 quarters, XBRL companyfacts)</t>
        </is>
      </c>
    </row>
    <row r="3">
      <c r="A3" s="8" t="inlineStr">
        <is>
          <t>Metric ($M except EPS)</t>
        </is>
      </c>
      <c r="B3" s="9" t="inlineStr">
        <is>
          <t>Q1 FY24</t>
        </is>
      </c>
      <c r="C3" s="9" t="inlineStr">
        <is>
          <t>Q2 FY24</t>
        </is>
      </c>
      <c r="D3" s="9" t="inlineStr">
        <is>
          <t>Q3 FY24</t>
        </is>
      </c>
      <c r="E3" s="9" t="inlineStr">
        <is>
          <t>Q1 FY25</t>
        </is>
      </c>
      <c r="F3" s="9" t="inlineStr">
        <is>
          <t>Q2 FY25</t>
        </is>
      </c>
      <c r="G3" s="9" t="inlineStr">
        <is>
          <t>Q3 FY25</t>
        </is>
      </c>
      <c r="H3" s="9" t="inlineStr">
        <is>
          <t>Q2 FY26</t>
        </is>
      </c>
      <c r="I3" s="9" t="inlineStr">
        <is>
          <t>Q3 FY26</t>
        </is>
      </c>
    </row>
    <row r="4">
      <c r="A4" s="2" t="inlineStr">
        <is>
          <t>Revenue</t>
        </is>
      </c>
      <c r="B4" s="10" t="n">
        <v>12185</v>
      </c>
      <c r="C4" s="10" t="n">
        <v>15235</v>
      </c>
      <c r="D4" s="10" t="n">
        <v>13152</v>
      </c>
      <c r="E4" s="10" t="n">
        <v>8508</v>
      </c>
      <c r="F4" s="10" t="n">
        <v>12763</v>
      </c>
      <c r="G4" s="10" t="n">
        <v>12018</v>
      </c>
      <c r="H4" s="10" t="n">
        <v>9611</v>
      </c>
      <c r="I4" s="10" t="n">
        <v>13369</v>
      </c>
    </row>
    <row r="5">
      <c r="A5" s="2" t="inlineStr">
        <is>
          <t>Gross profit</t>
        </is>
      </c>
    </row>
    <row r="6">
      <c r="A6" s="2" t="inlineStr">
        <is>
          <t>Operating income</t>
        </is>
      </c>
    </row>
    <row r="7">
      <c r="A7" s="2" t="inlineStr">
        <is>
          <t>Net income</t>
        </is>
      </c>
      <c r="B7" s="10" t="n">
        <v>1751</v>
      </c>
      <c r="C7" s="10" t="n">
        <v>2370</v>
      </c>
      <c r="D7" s="10" t="n">
        <v>1734</v>
      </c>
      <c r="E7" s="10" t="n">
        <v>869</v>
      </c>
      <c r="F7" s="10" t="n">
        <v>1804</v>
      </c>
      <c r="G7" s="10" t="n">
        <v>1289</v>
      </c>
      <c r="H7" s="10" t="n">
        <v>656</v>
      </c>
      <c r="I7" s="10" t="n">
        <v>1773</v>
      </c>
    </row>
    <row r="8">
      <c r="A8" s="2" t="inlineStr">
        <is>
          <t>Diluted EPS</t>
        </is>
      </c>
      <c r="B8" s="11" t="n">
        <v>6.23</v>
      </c>
      <c r="C8" s="11" t="n">
        <v>8.529999999999999</v>
      </c>
      <c r="D8" s="11" t="n">
        <v>6.29</v>
      </c>
      <c r="E8" s="11" t="n">
        <v>3.19</v>
      </c>
      <c r="F8" s="11" t="n">
        <v>6.64</v>
      </c>
      <c r="G8" s="11" t="n">
        <v>4.75</v>
      </c>
      <c r="H8" s="11" t="n">
        <v>2.42</v>
      </c>
      <c r="I8" s="11" t="n">
        <v>6.55</v>
      </c>
    </row>
    <row r="9">
      <c r="A9" s="2" t="inlineStr">
        <is>
          <t>Gross margin %</t>
        </is>
      </c>
      <c r="B9" s="12">
        <f>IF(B4=0,"-",B5/B4)</f>
        <v/>
      </c>
      <c r="C9" s="12">
        <f>IF(C4=0,"-",C5/C4)</f>
        <v/>
      </c>
      <c r="D9" s="12">
        <f>IF(D4=0,"-",D5/D4)</f>
        <v/>
      </c>
      <c r="E9" s="12">
        <f>IF(E4=0,"-",E5/E4)</f>
        <v/>
      </c>
      <c r="F9" s="12">
        <f>IF(F4=0,"-",F5/F4)</f>
        <v/>
      </c>
      <c r="G9" s="12">
        <f>IF(G4=0,"-",G5/G4)</f>
        <v/>
      </c>
      <c r="H9" s="12">
        <f>IF(H4=0,"-",H5/H4)</f>
        <v/>
      </c>
      <c r="I9" s="12">
        <f>IF(I4=0,"-",I5/I4)</f>
        <v/>
      </c>
    </row>
    <row r="10">
      <c r="A10" s="2" t="inlineStr">
        <is>
          <t>Operating margin %</t>
        </is>
      </c>
      <c r="B10" s="12">
        <f>IF(B4=0,"-",B6/B4)</f>
        <v/>
      </c>
      <c r="C10" s="12">
        <f>IF(C4=0,"-",C6/C4)</f>
        <v/>
      </c>
      <c r="D10" s="12">
        <f>IF(D4=0,"-",D6/D4)</f>
        <v/>
      </c>
      <c r="E10" s="12">
        <f>IF(E4=0,"-",E6/E4)</f>
        <v/>
      </c>
      <c r="F10" s="12">
        <f>IF(F4=0,"-",F6/F4)</f>
        <v/>
      </c>
      <c r="G10" s="12">
        <f>IF(G4=0,"-",G6/G4)</f>
        <v/>
      </c>
      <c r="H10" s="12">
        <f>IF(H4=0,"-",H6/H4)</f>
        <v/>
      </c>
      <c r="I10" s="12">
        <f>IF(I4=0,"-",I6/I4)</f>
        <v/>
      </c>
    </row>
    <row r="11">
      <c r="A11" s="2" t="inlineStr">
        <is>
          <t>Net margin %</t>
        </is>
      </c>
      <c r="B11" s="12">
        <f>IF(B4=0,"-",B7/B4)</f>
        <v/>
      </c>
      <c r="C11" s="12">
        <f>IF(C4=0,"-",C7/C4)</f>
        <v/>
      </c>
      <c r="D11" s="12">
        <f>IF(D4=0,"-",D7/D4)</f>
        <v/>
      </c>
      <c r="E11" s="12">
        <f>IF(E4=0,"-",E7/E4)</f>
        <v/>
      </c>
      <c r="F11" s="12">
        <f>IF(F4=0,"-",F7/F4)</f>
        <v/>
      </c>
      <c r="G11" s="12">
        <f>IF(G4=0,"-",G7/G4)</f>
        <v/>
      </c>
      <c r="H11" s="12">
        <f>IF(H4=0,"-",H7/H4)</f>
        <v/>
      </c>
      <c r="I11" s="12">
        <f>IF(I4=0,"-",I7/I4)</f>
        <v/>
      </c>
    </row>
    <row r="13">
      <c r="A13" s="2" t="inlineStr">
        <is>
          <t>Revenue YoY growth %</t>
        </is>
      </c>
      <c r="F13" s="12">
        <f>IF(B4=0,"-",(F4-B4)/B4)</f>
        <v/>
      </c>
      <c r="G13" s="12">
        <f>IF(C4=0,"-",(G4-C4)/C4)</f>
        <v/>
      </c>
      <c r="H13" s="12">
        <f>IF(D4=0,"-",(H4-D4)/D4)</f>
        <v/>
      </c>
      <c r="I13" s="12">
        <f>IF(E4=0,"-",(I4-E4)/E4)</f>
        <v/>
      </c>
    </row>
    <row r="15">
      <c r="A15" s="5" t="inlineStr">
        <is>
          <t>Source: SEC EDGAR XBRL companyfacts, https://data.sec.gov/api/xbrl/companyfacts/CIK0000315189.json -- fallback-tag series via edgar.named_metric(); each quarter is the most-recently-FILED duration-matched (75-100 day) fact for that period 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60" customWidth="1" min="4" max="4"/>
  </cols>
  <sheetData>
    <row r="1">
      <c r="A1" s="1" t="inlineStr">
        <is>
          <t>DE -- Company-specific KPIs (press-release-sourced)</t>
        </is>
      </c>
    </row>
    <row r="2">
      <c r="A2" s="5" t="inlineStr">
        <is>
          <t>companyfacts (XBRL) does not carry segment/product/KPI detail -- only headline, non-dimensional financials (Session 2 finding, PLAN §3). These rows are TBD until extracted from the 8-K EX-99.1 press release and supplied via --kpi-overrides.</t>
        </is>
      </c>
    </row>
    <row r="4">
      <c r="A4" s="9" t="inlineStr">
        <is>
          <t>KPI</t>
        </is>
      </c>
      <c r="B4" s="9" t="inlineStr">
        <is>
          <t>Period</t>
        </is>
      </c>
      <c r="C4" s="9" t="inlineStr">
        <is>
          <t>Value</t>
        </is>
      </c>
      <c r="D4" s="9" t="inlineStr">
        <is>
          <t>Source</t>
        </is>
      </c>
    </row>
    <row r="5">
      <c r="A5" s="2" t="inlineStr">
        <is>
          <t>segment sales: Production &amp; Precision Ag / Small Ag &amp; Turf / Construction &amp; Forestry (KPI)</t>
        </is>
      </c>
      <c r="B5" s="4" t="inlineStr"/>
      <c r="C5" s="7" t="inlineStr">
        <is>
          <t>TBD</t>
        </is>
      </c>
      <c r="D5" s="5" t="inlineStr">
        <is>
          <t>not yet extracted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DE -- Our Estimate, Next Reported Period</t>
        </is>
      </c>
    </row>
    <row r="3">
      <c r="A3" s="2" t="inlineStr">
        <is>
          <t>Assumption</t>
        </is>
      </c>
      <c r="B3" s="8" t="inlineStr">
        <is>
          <t>Value</t>
        </is>
      </c>
    </row>
    <row r="4">
      <c r="A4" s="3" t="inlineStr">
        <is>
          <t>Assumed QoQ revenue growth</t>
        </is>
      </c>
      <c r="B4" s="13" t="n">
        <v>0.05</v>
      </c>
    </row>
    <row r="5">
      <c r="A5" s="3" t="inlineStr">
        <is>
          <t>Assumed net margin</t>
        </is>
      </c>
      <c r="B5" s="13" t="n">
        <v>0.1</v>
      </c>
    </row>
    <row r="7">
      <c r="A7" s="3" t="inlineStr">
        <is>
          <t>Last actual revenue ($M)</t>
        </is>
      </c>
      <c r="B7" s="14">
        <f>'Income Statement'!I4</f>
        <v/>
      </c>
    </row>
    <row r="8">
      <c r="A8" s="2" t="inlineStr">
        <is>
          <t>Estimated next-quarter revenue ($M)</t>
        </is>
      </c>
      <c r="B8" s="15">
        <f>B7*(1+B4)</f>
        <v/>
      </c>
    </row>
    <row r="9">
      <c r="A9" s="2" t="inlineStr">
        <is>
          <t>Estimated next-quarter net income ($M)</t>
        </is>
      </c>
      <c r="B9" s="15">
        <f>B8*B5</f>
        <v/>
      </c>
    </row>
    <row r="11">
      <c r="A11" s="5" t="inlineStr">
        <is>
          <t>Assumption cells (blue) are ours to edit per-name before a /preview run; the estimate rows are live formulas, not hardcoded -- change an assumption and the estimate recalculates. This is a starting scaffold, not a forecast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2026-07-13T21:19:34Z</dcterms:created>
  <dcterms:modified xmlns:dcterms="http://purl.org/dc/terms/" xmlns:xsi="http://www.w3.org/2001/XMLSchema-instance" xsi:type="dcterms:W3CDTF">2026-07-13T21:19:34Z</dcterms:modified>
</cp:coreProperties>
</file>